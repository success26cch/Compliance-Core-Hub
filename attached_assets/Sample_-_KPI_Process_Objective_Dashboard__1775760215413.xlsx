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3" documentId="8_{471737FE-4875-4BA3-806B-84AE1E523B75}" xr6:coauthVersionLast="47" xr6:coauthVersionMax="47" xr10:uidLastSave="{5C1A3A6C-17C3-49C1-9FB0-9B25158F48B0}"/>
  <bookViews>
    <workbookView xWindow="-110" yWindow="-110" windowWidth="22780" windowHeight="14540" xr2:uid="{00000000-000D-0000-FFFF-FFFF00000000}"/>
  </bookViews>
  <sheets>
    <sheet name="IATF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3" l="1"/>
  <c r="Q43" i="3"/>
  <c r="Q42" i="3"/>
  <c r="Q41" i="3"/>
  <c r="Q40" i="3"/>
  <c r="Q39" i="3"/>
  <c r="Q38" i="3"/>
  <c r="Q35" i="3"/>
  <c r="Q34" i="3"/>
  <c r="Q33" i="3"/>
  <c r="Q32" i="3"/>
  <c r="Q31" i="3"/>
  <c r="Q30" i="3"/>
  <c r="Q29" i="3"/>
  <c r="Q28" i="3"/>
  <c r="Q27" i="3"/>
  <c r="Q26" i="3"/>
  <c r="Q25" i="3"/>
  <c r="Q22" i="3"/>
  <c r="Q21" i="3"/>
  <c r="Q20" i="3"/>
  <c r="Q19" i="3"/>
  <c r="Q18" i="3"/>
  <c r="Q16" i="3"/>
  <c r="Q15" i="3"/>
  <c r="Q14" i="3"/>
  <c r="Q13" i="3"/>
  <c r="Q12" i="3"/>
  <c r="Q11" i="3"/>
  <c r="Q10" i="3"/>
  <c r="Q9" i="3"/>
  <c r="Q8" i="3"/>
  <c r="Q7" i="3"/>
  <c r="Q6" i="3"/>
  <c r="Q5" i="3"/>
  <c r="Q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6E379303-81A0-4C6B-9B11-FD4967D2EE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$275 per week.  Is this correct? </t>
        </r>
      </text>
    </comment>
    <comment ref="D19" authorId="0" shapeId="0" xr:uid="{9E62DB68-3B15-400E-B25C-77B92877C7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 this correct, KPI says 85%?</t>
        </r>
      </text>
    </comment>
    <comment ref="C2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Did we meet the APQP established deadline.  Delay by customer is ok, delay by us is not ok.  Target should be 0</t>
        </r>
      </text>
    </comment>
    <comment ref="D34" authorId="0" shapeId="0" xr:uid="{7E6D9D10-F053-42A4-A043-6E745EB397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 this a correct goal? KPI register indicates $1,500 per week; which would be $6K/Month</t>
        </r>
      </text>
    </comment>
  </commentList>
</comments>
</file>

<file path=xl/sharedStrings.xml><?xml version="1.0" encoding="utf-8"?>
<sst xmlns="http://schemas.openxmlformats.org/spreadsheetml/2006/main" count="179" uniqueCount="110">
  <si>
    <t>Objective</t>
  </si>
  <si>
    <t>Jan.</t>
  </si>
  <si>
    <t>Feb.</t>
  </si>
  <si>
    <t>Mar.</t>
  </si>
  <si>
    <t>Apr.</t>
  </si>
  <si>
    <t>Jun.</t>
  </si>
  <si>
    <t>Jul.</t>
  </si>
  <si>
    <t>Aug.</t>
  </si>
  <si>
    <t>Sep.</t>
  </si>
  <si>
    <t>Oct.</t>
  </si>
  <si>
    <t>Nov.</t>
  </si>
  <si>
    <t>Dec.</t>
  </si>
  <si>
    <t>May.</t>
  </si>
  <si>
    <t>Management Process</t>
  </si>
  <si>
    <t>Core Manufacturing Processes</t>
  </si>
  <si>
    <t>Support Processes</t>
  </si>
  <si>
    <t>PRODUCTION</t>
  </si>
  <si>
    <t>PURCHASING</t>
  </si>
  <si>
    <t>CONTROL OF IMT</t>
  </si>
  <si>
    <t>INTERNAL AUDITS</t>
  </si>
  <si>
    <t>DOCUMENT/RECORD CONTROL</t>
  </si>
  <si>
    <t># of Document Control NC's</t>
  </si>
  <si>
    <t xml:space="preserve">On time Audits </t>
  </si>
  <si>
    <t>&lt;3</t>
  </si>
  <si>
    <t>CUSTOMER SERVICE</t>
  </si>
  <si>
    <t>2021 Goals</t>
  </si>
  <si>
    <t>DESIGN &amp; DEVELOPMENT</t>
  </si>
  <si>
    <t>&lt;20</t>
  </si>
  <si>
    <t>Campaigns Launched on Time</t>
  </si>
  <si>
    <t>SHIPPING</t>
  </si>
  <si>
    <t>INSTALLATION</t>
  </si>
  <si>
    <t xml:space="preserve">OTD Consumables </t>
  </si>
  <si>
    <t>Productivity</t>
  </si>
  <si>
    <t>Material Outages</t>
  </si>
  <si>
    <t>$ Value of Inventory Adjustments</t>
  </si>
  <si>
    <t>Shipment Errors - Consumables</t>
  </si>
  <si>
    <t>MAINTENANCE</t>
  </si>
  <si>
    <t xml:space="preserve">On Time Calibrations </t>
  </si>
  <si>
    <t>QUALITY ASSURANCE</t>
  </si>
  <si>
    <t>TRAINING</t>
  </si>
  <si>
    <t>SAFETY</t>
  </si>
  <si>
    <t>Recordable injuries</t>
  </si>
  <si>
    <t>Inventory Reduction</t>
  </si>
  <si>
    <t>Process Owner</t>
  </si>
  <si>
    <t>J. Pemberton</t>
  </si>
  <si>
    <t>S. Ogren</t>
  </si>
  <si>
    <t>M. McClain</t>
  </si>
  <si>
    <t>K. Pitt</t>
  </si>
  <si>
    <t>E.Bermudez</t>
  </si>
  <si>
    <t>R. Baker</t>
  </si>
  <si>
    <t>K.Gossett</t>
  </si>
  <si>
    <t>W. Walters</t>
  </si>
  <si>
    <t>WARRANTY</t>
  </si>
  <si>
    <t>J. Olshove</t>
  </si>
  <si>
    <t>&lt; $145K</t>
  </si>
  <si>
    <t xml:space="preserve">% of Training Completion </t>
  </si>
  <si>
    <t>Warranty Repairs</t>
  </si>
  <si>
    <t>OTD Delivery</t>
  </si>
  <si>
    <t>CORRECTIVE ACTION</t>
  </si>
  <si>
    <t>MANAGEMENT/
IMPROVEMENT</t>
  </si>
  <si>
    <t>E. Bermudez</t>
  </si>
  <si>
    <t xml:space="preserve">Repeat Findings </t>
  </si>
  <si>
    <t>J. Troger</t>
  </si>
  <si>
    <t>&lt; 2</t>
  </si>
  <si>
    <t>$Shipped</t>
  </si>
  <si>
    <t xml:space="preserve">Capital Equipment Sales Dollars </t>
  </si>
  <si>
    <t>Consumables Sales Dollars</t>
  </si>
  <si>
    <t>Errors Customer Orders 
(Effectiveness)</t>
  </si>
  <si>
    <t>550K</t>
  </si>
  <si>
    <t>Late Production Releases</t>
  </si>
  <si>
    <t>1.3M</t>
  </si>
  <si>
    <t>&lt;4</t>
  </si>
  <si>
    <t>&lt;4 errors</t>
  </si>
  <si>
    <t>Overtime % of Capital Equipment Sales</t>
  </si>
  <si>
    <t>Premium Freight</t>
  </si>
  <si>
    <t># of Installation Complaints</t>
  </si>
  <si>
    <t>&lt;2</t>
  </si>
  <si>
    <t>Production Related Complaints</t>
  </si>
  <si>
    <t>Design Related Complaints</t>
  </si>
  <si>
    <t>&lt;20 Open CS Related Complaints</t>
  </si>
  <si>
    <t>&gt;10%</t>
  </si>
  <si>
    <t>% contribution margin</t>
  </si>
  <si>
    <t>ACCOUNTING</t>
  </si>
  <si>
    <t>A. Mrozowsky</t>
  </si>
  <si>
    <t>Collections</t>
  </si>
  <si>
    <t>1.5M</t>
  </si>
  <si>
    <t xml:space="preserve">Maestro Cost </t>
  </si>
  <si>
    <t xml:space="preserve"> DISTRIBUTION CONSUMABLES</t>
  </si>
  <si>
    <t>RECEIVING/ PURCHASING CONSUMABLES</t>
  </si>
  <si>
    <t>Consumables Inventory $</t>
  </si>
  <si>
    <t>&lt;1 Million</t>
  </si>
  <si>
    <t>Consumables Inventory Adj</t>
  </si>
  <si>
    <t>&lt;$250</t>
  </si>
  <si>
    <t>Purchasing Savings$</t>
  </si>
  <si>
    <t>$35K</t>
  </si>
  <si>
    <t>&lt;4K</t>
  </si>
  <si>
    <t>41K</t>
  </si>
  <si>
    <t>Supplier Performance Rating</t>
  </si>
  <si>
    <t>PM Ontime</t>
  </si>
  <si>
    <t># of Open CAR's</t>
  </si>
  <si>
    <t>J. McMahon</t>
  </si>
  <si>
    <t>Performance to Budget</t>
  </si>
  <si>
    <t>2021 YTD</t>
  </si>
  <si>
    <t>2021 Goals/Month</t>
  </si>
  <si>
    <t>1.1 Million</t>
  </si>
  <si>
    <t>SALES/ MARKETING</t>
  </si>
  <si>
    <t>&lt;$6200</t>
  </si>
  <si>
    <t>3.76M</t>
  </si>
  <si>
    <t>COMPANY LOGO</t>
  </si>
  <si>
    <t>KPI PROCESS OBJECTIVE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</si>
</sst>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&quot;$&quot;#,##0"/>
  </numFmts>
  <fonts count="23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0000"/>
      <name val="Calibri"/>
      <family val="2"/>
    </font>
    <font>
      <sz val="12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8">
    <xf numFmtId="0" fontId="0" fillId="0" borderId="0" xfId="0"/>
    <xf numFmtId="0" fontId="4" fillId="2" borderId="3" xfId="0" applyFont="1" applyFill="1" applyBorder="1"/>
    <xf numFmtId="0" fontId="4" fillId="2" borderId="1" xfId="0" applyFont="1" applyFill="1" applyBorder="1"/>
    <xf numFmtId="0" fontId="4" fillId="0" borderId="0" xfId="0" applyFont="1"/>
    <xf numFmtId="9" fontId="4" fillId="2" borderId="3" xfId="0" applyNumberFormat="1" applyFont="1" applyFill="1" applyBorder="1"/>
    <xf numFmtId="9" fontId="4" fillId="2" borderId="1" xfId="0" applyNumberFormat="1" applyFont="1" applyFill="1" applyBorder="1"/>
    <xf numFmtId="9" fontId="4" fillId="0" borderId="3" xfId="0" applyNumberFormat="1" applyFont="1" applyBorder="1"/>
    <xf numFmtId="9" fontId="4" fillId="0" borderId="1" xfId="0" applyNumberFormat="1" applyFont="1" applyBorder="1"/>
    <xf numFmtId="0" fontId="4" fillId="0" borderId="3" xfId="0" applyFont="1" applyBorder="1"/>
    <xf numFmtId="0" fontId="4" fillId="0" borderId="1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2" borderId="4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0" xfId="0" applyFont="1" applyFill="1"/>
    <xf numFmtId="0" fontId="4" fillId="0" borderId="0" xfId="0" applyFont="1" applyAlignment="1">
      <alignment vertical="center"/>
    </xf>
    <xf numFmtId="9" fontId="4" fillId="2" borderId="4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4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9" fontId="4" fillId="2" borderId="29" xfId="0" applyNumberFormat="1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9" fontId="4" fillId="2" borderId="28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9" fontId="17" fillId="2" borderId="1" xfId="0" applyNumberFormat="1" applyFont="1" applyFill="1" applyBorder="1" applyAlignment="1">
      <alignment horizontal="center" vertical="center"/>
    </xf>
    <xf numFmtId="9" fontId="17" fillId="2" borderId="29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64" fontId="17" fillId="2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/>
    </xf>
    <xf numFmtId="0" fontId="0" fillId="0" borderId="29" xfId="0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16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9" fontId="16" fillId="2" borderId="1" xfId="0" applyNumberFormat="1" applyFont="1" applyFill="1" applyBorder="1" applyAlignment="1">
      <alignment horizontal="center" vertical="center" wrapText="1"/>
    </xf>
    <xf numFmtId="9" fontId="17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7" xfId="0" applyBorder="1" applyAlignment="1">
      <alignment horizontal="left" vertical="center" wrapText="1"/>
    </xf>
    <xf numFmtId="9" fontId="17" fillId="0" borderId="29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6" fontId="17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9" fontId="18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3" fontId="4" fillId="7" borderId="11" xfId="0" applyNumberFormat="1" applyFont="1" applyFill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22" fillId="0" borderId="4" xfId="0" applyNumberFormat="1" applyFont="1" applyBorder="1" applyAlignment="1">
      <alignment horizontal="center" vertical="center"/>
    </xf>
    <xf numFmtId="165" fontId="4" fillId="5" borderId="11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9" fontId="16" fillId="8" borderId="1" xfId="0" applyNumberFormat="1" applyFont="1" applyFill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/>
    </xf>
    <xf numFmtId="10" fontId="4" fillId="6" borderId="1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3" fontId="4" fillId="5" borderId="11" xfId="0" applyNumberFormat="1" applyFont="1" applyFill="1" applyBorder="1" applyAlignment="1">
      <alignment horizontal="center" vertical="center"/>
    </xf>
    <xf numFmtId="9" fontId="17" fillId="8" borderId="1" xfId="0" applyNumberFormat="1" applyFont="1" applyFill="1" applyBorder="1" applyAlignment="1">
      <alignment horizontal="center" vertical="center"/>
    </xf>
    <xf numFmtId="164" fontId="4" fillId="6" borderId="11" xfId="0" applyNumberFormat="1" applyFont="1" applyFill="1" applyBorder="1" applyAlignment="1">
      <alignment horizontal="center" vertical="center"/>
    </xf>
    <xf numFmtId="3" fontId="4" fillId="6" borderId="1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1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5" fontId="11" fillId="8" borderId="1" xfId="0" applyNumberFormat="1" applyFont="1" applyFill="1" applyBorder="1" applyAlignment="1">
      <alignment horizontal="center" vertical="center"/>
    </xf>
    <xf numFmtId="9" fontId="11" fillId="2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3"/>
  <sheetViews>
    <sheetView tabSelected="1" view="pageLayout" zoomScale="57" zoomScaleNormal="85" zoomScalePageLayoutView="57" workbookViewId="0">
      <selection activeCell="D1" sqref="D1:Q1"/>
    </sheetView>
  </sheetViews>
  <sheetFormatPr defaultColWidth="9.1796875" defaultRowHeight="13" outlineLevelCol="1" x14ac:dyDescent="0.3"/>
  <cols>
    <col min="1" max="1" width="24" style="3" customWidth="1"/>
    <col min="2" max="2" width="24.26953125" style="3" customWidth="1"/>
    <col min="3" max="3" width="30.26953125" style="3" customWidth="1"/>
    <col min="4" max="4" width="17.54296875" style="13" customWidth="1"/>
    <col min="5" max="16" width="17.54296875" style="3" customWidth="1" outlineLevel="1"/>
    <col min="17" max="17" width="17.54296875" style="3" customWidth="1"/>
    <col min="18" max="29" width="5.7265625" style="3" hidden="1" customWidth="1" outlineLevel="1"/>
    <col min="30" max="30" width="9.1796875" style="3" collapsed="1"/>
    <col min="31" max="16384" width="9.1796875" style="3"/>
  </cols>
  <sheetData>
    <row r="1" spans="1:29" ht="61.9" customHeight="1" x14ac:dyDescent="0.65">
      <c r="A1" s="158" t="s">
        <v>108</v>
      </c>
      <c r="B1" s="158"/>
      <c r="C1" s="158"/>
      <c r="D1" s="157" t="s">
        <v>109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29" ht="13.5" thickBot="1" x14ac:dyDescent="0.35"/>
    <row r="3" spans="1:29" s="17" customFormat="1" ht="31" x14ac:dyDescent="0.35">
      <c r="A3" s="22" t="s">
        <v>14</v>
      </c>
      <c r="B3" s="47" t="s">
        <v>43</v>
      </c>
      <c r="C3" s="23" t="s">
        <v>0</v>
      </c>
      <c r="D3" s="24" t="s">
        <v>103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12</v>
      </c>
      <c r="J3" s="24" t="s">
        <v>5</v>
      </c>
      <c r="K3" s="24" t="s">
        <v>6</v>
      </c>
      <c r="L3" s="24" t="s">
        <v>7</v>
      </c>
      <c r="M3" s="24" t="s">
        <v>8</v>
      </c>
      <c r="N3" s="24" t="s">
        <v>9</v>
      </c>
      <c r="O3" s="24" t="s">
        <v>10</v>
      </c>
      <c r="P3" s="24" t="s">
        <v>11</v>
      </c>
      <c r="Q3" s="25" t="s">
        <v>102</v>
      </c>
      <c r="R3" s="15" t="s">
        <v>1</v>
      </c>
      <c r="S3" s="16" t="s">
        <v>2</v>
      </c>
      <c r="T3" s="16" t="s">
        <v>3</v>
      </c>
      <c r="U3" s="16" t="s">
        <v>4</v>
      </c>
      <c r="V3" s="16" t="s">
        <v>12</v>
      </c>
      <c r="W3" s="16" t="s">
        <v>5</v>
      </c>
      <c r="X3" s="16" t="s">
        <v>6</v>
      </c>
      <c r="Y3" s="16" t="s">
        <v>7</v>
      </c>
      <c r="Z3" s="16" t="s">
        <v>8</v>
      </c>
      <c r="AA3" s="16" t="s">
        <v>9</v>
      </c>
      <c r="AB3" s="16" t="s">
        <v>10</v>
      </c>
      <c r="AC3" s="16" t="s">
        <v>11</v>
      </c>
    </row>
    <row r="4" spans="1:29" ht="40.15" customHeight="1" x14ac:dyDescent="0.3">
      <c r="A4" s="152" t="s">
        <v>105</v>
      </c>
      <c r="B4" s="51" t="s">
        <v>44</v>
      </c>
      <c r="C4" s="27" t="s">
        <v>66</v>
      </c>
      <c r="D4" s="67" t="s">
        <v>68</v>
      </c>
      <c r="E4" s="21"/>
      <c r="F4" s="119"/>
      <c r="G4" s="119"/>
      <c r="H4" s="119"/>
      <c r="I4" s="111"/>
      <c r="J4" s="21"/>
      <c r="K4" s="21"/>
      <c r="L4" s="21"/>
      <c r="M4" s="14"/>
      <c r="N4" s="14"/>
      <c r="O4" s="14"/>
      <c r="P4" s="14"/>
      <c r="Q4" s="112" t="e">
        <f>AVERAGE(E4:P4)</f>
        <v>#DIV/0!</v>
      </c>
      <c r="R4" s="1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0.15" customHeight="1" x14ac:dyDescent="0.3">
      <c r="A5" s="162"/>
      <c r="B5" s="44" t="s">
        <v>50</v>
      </c>
      <c r="C5" s="28" t="s">
        <v>65</v>
      </c>
      <c r="D5" s="120" t="s">
        <v>104</v>
      </c>
      <c r="E5" s="70"/>
      <c r="F5" s="111"/>
      <c r="G5" s="111"/>
      <c r="H5" s="111"/>
      <c r="I5" s="70"/>
      <c r="J5" s="70"/>
      <c r="K5" s="70"/>
      <c r="L5" s="70"/>
      <c r="M5" s="70"/>
      <c r="N5" s="70"/>
      <c r="O5" s="70"/>
      <c r="P5" s="70"/>
      <c r="Q5" s="112" t="e">
        <f>AVERAGE(E5:P5)</f>
        <v>#DIV/0!</v>
      </c>
      <c r="R5" s="1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40.15" customHeight="1" x14ac:dyDescent="0.3">
      <c r="A6" s="153"/>
      <c r="B6" s="51" t="s">
        <v>44</v>
      </c>
      <c r="C6" s="27" t="s">
        <v>28</v>
      </c>
      <c r="D6" s="71">
        <v>1</v>
      </c>
      <c r="E6" s="18"/>
      <c r="F6" s="68"/>
      <c r="G6" s="68"/>
      <c r="H6" s="68"/>
      <c r="I6" s="68"/>
      <c r="J6" s="68"/>
      <c r="K6" s="68"/>
      <c r="L6" s="68"/>
      <c r="M6" s="69"/>
      <c r="N6" s="69"/>
      <c r="O6" s="69"/>
      <c r="P6" s="69"/>
      <c r="Q6" s="110" t="e">
        <f t="shared" ref="Q6:Q22" si="0">AVERAGE(E6:P6)</f>
        <v>#DIV/0!</v>
      </c>
      <c r="R6" s="8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40.15" customHeight="1" x14ac:dyDescent="0.3">
      <c r="A7" s="151" t="s">
        <v>24</v>
      </c>
      <c r="B7" s="44" t="s">
        <v>45</v>
      </c>
      <c r="C7" s="91" t="s">
        <v>67</v>
      </c>
      <c r="D7" s="92" t="s">
        <v>72</v>
      </c>
      <c r="E7" s="88"/>
      <c r="F7" s="88"/>
      <c r="G7" s="88"/>
      <c r="H7" s="88"/>
      <c r="I7" s="88"/>
      <c r="J7" s="88"/>
      <c r="K7" s="88"/>
      <c r="L7" s="88"/>
      <c r="M7" s="79"/>
      <c r="N7" s="79"/>
      <c r="O7" s="79"/>
      <c r="P7" s="79"/>
      <c r="Q7" s="110" t="e">
        <f t="shared" si="0"/>
        <v>#DIV/0!</v>
      </c>
      <c r="R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40.15" customHeight="1" x14ac:dyDescent="0.3">
      <c r="A8" s="151"/>
      <c r="B8" s="51" t="s">
        <v>45</v>
      </c>
      <c r="C8" s="93" t="s">
        <v>79</v>
      </c>
      <c r="D8" s="94" t="s">
        <v>27</v>
      </c>
      <c r="E8" s="26"/>
      <c r="F8" s="26"/>
      <c r="G8" s="26"/>
      <c r="H8" s="26"/>
      <c r="I8" s="26"/>
      <c r="J8" s="26"/>
      <c r="K8" s="26"/>
      <c r="L8" s="26"/>
      <c r="M8" s="12"/>
      <c r="N8" s="12"/>
      <c r="O8" s="12"/>
      <c r="P8" s="12"/>
      <c r="Q8" s="110" t="e">
        <f t="shared" si="0"/>
        <v>#DIV/0!</v>
      </c>
      <c r="R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40.15" customHeight="1" x14ac:dyDescent="0.3">
      <c r="A9" s="151" t="s">
        <v>26</v>
      </c>
      <c r="B9" s="50" t="s">
        <v>46</v>
      </c>
      <c r="C9" s="91" t="s">
        <v>78</v>
      </c>
      <c r="D9" s="95" t="s">
        <v>71</v>
      </c>
      <c r="E9" s="88"/>
      <c r="F9" s="88"/>
      <c r="G9" s="88"/>
      <c r="H9" s="88"/>
      <c r="I9" s="88"/>
      <c r="J9" s="88"/>
      <c r="K9" s="88"/>
      <c r="L9" s="88"/>
      <c r="M9" s="79"/>
      <c r="N9" s="79"/>
      <c r="O9" s="79"/>
      <c r="P9" s="79"/>
      <c r="Q9" s="110" t="e">
        <f t="shared" si="0"/>
        <v>#DIV/0!</v>
      </c>
      <c r="R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40.15" customHeight="1" x14ac:dyDescent="0.3">
      <c r="A10" s="151"/>
      <c r="B10" s="52" t="s">
        <v>46</v>
      </c>
      <c r="C10" s="96" t="s">
        <v>69</v>
      </c>
      <c r="D10" s="72" t="s">
        <v>71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4" t="e">
        <f t="shared" si="0"/>
        <v>#DIV/0!</v>
      </c>
      <c r="R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40.15" customHeight="1" x14ac:dyDescent="0.3">
      <c r="A11" s="167" t="s">
        <v>16</v>
      </c>
      <c r="B11" s="44" t="s">
        <v>47</v>
      </c>
      <c r="C11" s="97" t="s">
        <v>77</v>
      </c>
      <c r="D11" s="98" t="s">
        <v>71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14" t="e">
        <f t="shared" si="0"/>
        <v>#DIV/0!</v>
      </c>
      <c r="R11" s="8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40.15" customHeight="1" x14ac:dyDescent="0.3">
      <c r="A12" s="167"/>
      <c r="B12" s="51" t="s">
        <v>47</v>
      </c>
      <c r="C12" s="31" t="s">
        <v>32</v>
      </c>
      <c r="D12" s="73">
        <v>0.15</v>
      </c>
      <c r="E12" s="53"/>
      <c r="F12" s="53"/>
      <c r="G12" s="53"/>
      <c r="H12" s="53"/>
      <c r="I12" s="53"/>
      <c r="J12" s="53"/>
      <c r="K12" s="53"/>
      <c r="L12" s="53"/>
      <c r="M12" s="54"/>
      <c r="N12" s="54"/>
      <c r="O12" s="54"/>
      <c r="P12" s="54"/>
      <c r="Q12" s="110" t="e">
        <f t="shared" si="0"/>
        <v>#DIV/0!</v>
      </c>
      <c r="R12" s="8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40.15" customHeight="1" x14ac:dyDescent="0.3">
      <c r="A13" s="167"/>
      <c r="B13" s="44" t="s">
        <v>47</v>
      </c>
      <c r="C13" s="97" t="s">
        <v>64</v>
      </c>
      <c r="D13" s="99" t="s">
        <v>70</v>
      </c>
      <c r="E13" s="115"/>
      <c r="F13" s="117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8" t="e">
        <f t="shared" si="0"/>
        <v>#DIV/0!</v>
      </c>
      <c r="R13" s="8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40.15" customHeight="1" x14ac:dyDescent="0.3">
      <c r="A14" s="167"/>
      <c r="B14" s="51" t="s">
        <v>47</v>
      </c>
      <c r="C14" s="80" t="s">
        <v>73</v>
      </c>
      <c r="D14" s="81">
        <v>1.4999999999999999E-2</v>
      </c>
      <c r="E14" s="38"/>
      <c r="F14" s="38"/>
      <c r="G14" s="38"/>
      <c r="H14" s="38"/>
      <c r="I14" s="38"/>
      <c r="J14" s="38"/>
      <c r="K14" s="82"/>
      <c r="L14" s="38"/>
      <c r="M14" s="38"/>
      <c r="N14" s="38"/>
      <c r="O14" s="38"/>
      <c r="P14" s="38"/>
      <c r="Q14" s="110" t="e">
        <f t="shared" si="0"/>
        <v>#DIV/0!</v>
      </c>
      <c r="R14" s="1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40.15" customHeight="1" x14ac:dyDescent="0.3">
      <c r="A15" s="151" t="s">
        <v>88</v>
      </c>
      <c r="B15" s="44" t="s">
        <v>44</v>
      </c>
      <c r="C15" s="74" t="s">
        <v>91</v>
      </c>
      <c r="D15" s="75" t="s">
        <v>92</v>
      </c>
      <c r="E15" s="36"/>
      <c r="F15" s="36"/>
      <c r="G15" s="36"/>
      <c r="H15" s="36"/>
      <c r="I15" s="36"/>
      <c r="J15" s="36"/>
      <c r="K15" s="37"/>
      <c r="L15" s="36"/>
      <c r="M15" s="36"/>
      <c r="N15" s="36"/>
      <c r="O15" s="36"/>
      <c r="P15" s="36"/>
      <c r="Q15" s="110" t="e">
        <f t="shared" si="0"/>
        <v>#DIV/0!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ht="40.15" customHeight="1" x14ac:dyDescent="0.3">
      <c r="A16" s="151"/>
      <c r="B16" s="51" t="s">
        <v>44</v>
      </c>
      <c r="C16" s="80" t="s">
        <v>89</v>
      </c>
      <c r="D16" s="81" t="s">
        <v>90</v>
      </c>
      <c r="E16" s="38"/>
      <c r="F16" s="38"/>
      <c r="G16" s="38"/>
      <c r="H16" s="38"/>
      <c r="I16" s="38"/>
      <c r="J16" s="38"/>
      <c r="K16" s="82"/>
      <c r="L16" s="38"/>
      <c r="M16" s="38"/>
      <c r="N16" s="38"/>
      <c r="O16" s="38"/>
      <c r="P16" s="38"/>
      <c r="Q16" s="110" t="e">
        <f t="shared" si="0"/>
        <v>#DIV/0!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35" ht="40.15" customHeight="1" x14ac:dyDescent="0.3">
      <c r="A17" s="165" t="s">
        <v>87</v>
      </c>
      <c r="B17" s="44" t="s">
        <v>44</v>
      </c>
      <c r="C17" s="35" t="s">
        <v>35</v>
      </c>
      <c r="D17" s="101">
        <v>0</v>
      </c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 t="e">
        <f>AVERAGE(E17:P17)</f>
        <v>#DIV/0!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35" ht="40.15" customHeight="1" x14ac:dyDescent="0.3">
      <c r="A18" s="166"/>
      <c r="B18" s="51" t="s">
        <v>44</v>
      </c>
      <c r="C18" s="31" t="s">
        <v>31</v>
      </c>
      <c r="D18" s="72">
        <v>0.95</v>
      </c>
      <c r="E18" s="32"/>
      <c r="F18" s="33"/>
      <c r="G18" s="33"/>
      <c r="H18" s="33"/>
      <c r="I18" s="32"/>
      <c r="J18" s="32"/>
      <c r="K18" s="32"/>
      <c r="L18" s="32"/>
      <c r="M18" s="12"/>
      <c r="N18" s="12"/>
      <c r="O18" s="12"/>
      <c r="P18" s="12"/>
      <c r="Q18" s="122" t="e">
        <f t="shared" si="0"/>
        <v>#DIV/0!</v>
      </c>
    </row>
    <row r="19" spans="1:35" ht="40.15" customHeight="1" x14ac:dyDescent="0.3">
      <c r="A19" s="146" t="s">
        <v>29</v>
      </c>
      <c r="B19" s="44" t="s">
        <v>47</v>
      </c>
      <c r="C19" s="35" t="s">
        <v>57</v>
      </c>
      <c r="D19" s="125">
        <v>0.95</v>
      </c>
      <c r="E19" s="102"/>
      <c r="F19" s="90"/>
      <c r="G19" s="90"/>
      <c r="H19" s="90"/>
      <c r="I19" s="102"/>
      <c r="J19" s="102"/>
      <c r="K19" s="102"/>
      <c r="L19" s="102"/>
      <c r="M19" s="90"/>
      <c r="N19" s="90"/>
      <c r="O19" s="90"/>
      <c r="P19" s="90"/>
      <c r="Q19" s="126" t="e">
        <f t="shared" si="0"/>
        <v>#DIV/0!</v>
      </c>
    </row>
    <row r="20" spans="1:35" ht="40.15" customHeight="1" x14ac:dyDescent="0.3">
      <c r="A20" s="148"/>
      <c r="B20" s="51" t="s">
        <v>47</v>
      </c>
      <c r="C20" s="31" t="s">
        <v>74</v>
      </c>
      <c r="D20" s="103">
        <v>500</v>
      </c>
      <c r="E20" s="32"/>
      <c r="F20" s="33"/>
      <c r="G20" s="33"/>
      <c r="H20" s="33"/>
      <c r="I20" s="32"/>
      <c r="J20" s="32"/>
      <c r="K20" s="32"/>
      <c r="L20" s="32"/>
      <c r="M20" s="12"/>
      <c r="N20" s="12"/>
      <c r="O20" s="12"/>
      <c r="P20" s="12"/>
      <c r="Q20" s="110" t="e">
        <f t="shared" si="0"/>
        <v>#DIV/0!</v>
      </c>
    </row>
    <row r="21" spans="1:35" ht="40.15" customHeight="1" x14ac:dyDescent="0.3">
      <c r="A21" s="163" t="s">
        <v>30</v>
      </c>
      <c r="B21" s="50" t="s">
        <v>51</v>
      </c>
      <c r="C21" s="35" t="s">
        <v>75</v>
      </c>
      <c r="D21" s="95" t="s">
        <v>76</v>
      </c>
      <c r="E21" s="88"/>
      <c r="F21" s="88"/>
      <c r="G21" s="88"/>
      <c r="H21" s="88"/>
      <c r="I21" s="88"/>
      <c r="J21" s="88"/>
      <c r="K21" s="88"/>
      <c r="L21" s="88"/>
      <c r="M21" s="79"/>
      <c r="N21" s="79"/>
      <c r="O21" s="79"/>
      <c r="P21" s="79"/>
      <c r="Q21" s="110" t="e">
        <f t="shared" si="0"/>
        <v>#DIV/0!</v>
      </c>
    </row>
    <row r="22" spans="1:35" ht="40.15" customHeight="1" thickBot="1" x14ac:dyDescent="0.35">
      <c r="A22" s="164"/>
      <c r="B22" s="52" t="s">
        <v>51</v>
      </c>
      <c r="C22" s="104" t="s">
        <v>81</v>
      </c>
      <c r="D22" s="105" t="s">
        <v>80</v>
      </c>
      <c r="E22" s="34"/>
      <c r="F22" s="34"/>
      <c r="G22" s="34"/>
      <c r="H22" s="34"/>
      <c r="I22" s="34"/>
      <c r="J22" s="34"/>
      <c r="K22" s="34"/>
      <c r="L22" s="34"/>
      <c r="M22" s="12"/>
      <c r="N22" s="12"/>
      <c r="O22" s="12"/>
      <c r="P22" s="12"/>
      <c r="Q22" s="110" t="e">
        <f t="shared" si="0"/>
        <v>#DIV/0!</v>
      </c>
      <c r="R22" s="8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35" ht="30.75" customHeight="1" thickBot="1" x14ac:dyDescent="0.35">
      <c r="A23" s="159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1"/>
      <c r="R23" s="8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35" ht="30.75" customHeight="1" x14ac:dyDescent="0.3">
      <c r="A24" s="39" t="s">
        <v>15</v>
      </c>
      <c r="B24" s="49"/>
      <c r="C24" s="40" t="s">
        <v>0</v>
      </c>
      <c r="D24" s="41" t="s">
        <v>25</v>
      </c>
      <c r="E24" s="42" t="s">
        <v>1</v>
      </c>
      <c r="F24" s="41" t="s">
        <v>2</v>
      </c>
      <c r="G24" s="41" t="s">
        <v>3</v>
      </c>
      <c r="H24" s="41" t="s">
        <v>4</v>
      </c>
      <c r="I24" s="41" t="s">
        <v>12</v>
      </c>
      <c r="J24" s="41" t="s">
        <v>5</v>
      </c>
      <c r="K24" s="41" t="s">
        <v>6</v>
      </c>
      <c r="L24" s="41" t="s">
        <v>7</v>
      </c>
      <c r="M24" s="41" t="s">
        <v>8</v>
      </c>
      <c r="N24" s="41" t="s">
        <v>9</v>
      </c>
      <c r="O24" s="42" t="s">
        <v>10</v>
      </c>
      <c r="P24" s="41" t="s">
        <v>11</v>
      </c>
      <c r="Q24" s="43" t="s">
        <v>102</v>
      </c>
      <c r="R24" s="8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35" ht="40.15" customHeight="1" x14ac:dyDescent="0.3">
      <c r="A25" s="146" t="s">
        <v>17</v>
      </c>
      <c r="B25" s="44" t="s">
        <v>49</v>
      </c>
      <c r="C25" s="35" t="s">
        <v>33</v>
      </c>
      <c r="D25" s="89" t="s">
        <v>71</v>
      </c>
      <c r="E25" s="123"/>
      <c r="F25" s="129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7" t="e">
        <f>AVERAGE(E25:P25)</f>
        <v>#DIV/0!</v>
      </c>
      <c r="R25" s="4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35" ht="40.15" customHeight="1" x14ac:dyDescent="0.3">
      <c r="A26" s="147"/>
      <c r="B26" s="51" t="s">
        <v>49</v>
      </c>
      <c r="C26" s="31" t="s">
        <v>93</v>
      </c>
      <c r="D26" s="57" t="s">
        <v>94</v>
      </c>
      <c r="E26" s="106"/>
      <c r="F26" s="130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12" t="e">
        <f t="shared" ref="Q26:Q35" si="1">AVERAGE(E26:P26)</f>
        <v>#DIV/0!</v>
      </c>
      <c r="R26" s="6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E26" s="19"/>
      <c r="AF26" s="19"/>
      <c r="AG26" s="19"/>
      <c r="AH26" s="19"/>
      <c r="AI26" s="19"/>
    </row>
    <row r="27" spans="1:35" ht="40.15" customHeight="1" x14ac:dyDescent="0.3">
      <c r="A27" s="147"/>
      <c r="B27" s="44" t="s">
        <v>49</v>
      </c>
      <c r="C27" s="131" t="s">
        <v>42</v>
      </c>
      <c r="D27" s="132" t="s">
        <v>96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110" t="e">
        <f t="shared" si="1"/>
        <v>#DIV/0!</v>
      </c>
      <c r="R27" s="6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E27" s="19"/>
      <c r="AF27" s="19"/>
      <c r="AG27" s="19"/>
      <c r="AH27" s="19"/>
      <c r="AI27" s="19"/>
    </row>
    <row r="28" spans="1:35" ht="40.15" customHeight="1" x14ac:dyDescent="0.3">
      <c r="A28" s="148"/>
      <c r="B28" s="51" t="s">
        <v>49</v>
      </c>
      <c r="C28" s="80" t="s">
        <v>34</v>
      </c>
      <c r="D28" s="57" t="s">
        <v>95</v>
      </c>
      <c r="E28" s="106"/>
      <c r="F28" s="130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10" t="e">
        <f t="shared" si="1"/>
        <v>#DIV/0!</v>
      </c>
      <c r="R28" s="6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E28" s="19"/>
      <c r="AF28" s="19"/>
      <c r="AG28" s="19"/>
      <c r="AH28" s="19"/>
      <c r="AI28" s="19"/>
    </row>
    <row r="29" spans="1:35" ht="40.15" customHeight="1" x14ac:dyDescent="0.3">
      <c r="A29" s="50" t="s">
        <v>36</v>
      </c>
      <c r="B29" s="50" t="s">
        <v>47</v>
      </c>
      <c r="C29" s="83" t="s">
        <v>98</v>
      </c>
      <c r="D29" s="89">
        <v>0.95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110" t="e">
        <f t="shared" si="1"/>
        <v>#DIV/0!</v>
      </c>
      <c r="R29" s="1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35" ht="40.15" customHeight="1" x14ac:dyDescent="0.3">
      <c r="A30" s="50" t="s">
        <v>18</v>
      </c>
      <c r="B30" s="52" t="s">
        <v>48</v>
      </c>
      <c r="C30" s="56" t="s">
        <v>37</v>
      </c>
      <c r="D30" s="133">
        <v>1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110" t="e">
        <f t="shared" si="1"/>
        <v>#DIV/0!</v>
      </c>
      <c r="R30" s="1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35" ht="40.15" customHeight="1" x14ac:dyDescent="0.3">
      <c r="A31" s="152" t="s">
        <v>38</v>
      </c>
      <c r="B31" s="50" t="s">
        <v>48</v>
      </c>
      <c r="C31" s="55" t="s">
        <v>97</v>
      </c>
      <c r="D31" s="89">
        <v>0.9</v>
      </c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110" t="e">
        <f t="shared" si="1"/>
        <v>#DIV/0!</v>
      </c>
      <c r="R31" s="1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35" ht="40.15" customHeight="1" x14ac:dyDescent="0.3">
      <c r="A32" s="153"/>
      <c r="B32" s="52" t="s">
        <v>48</v>
      </c>
      <c r="C32" s="56" t="s">
        <v>99</v>
      </c>
      <c r="D32" s="133" t="s">
        <v>27</v>
      </c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0" t="e">
        <f t="shared" si="1"/>
        <v>#DIV/0!</v>
      </c>
      <c r="R32" s="8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ht="40.15" customHeight="1" x14ac:dyDescent="0.3">
      <c r="A33" s="45" t="s">
        <v>39</v>
      </c>
      <c r="B33" s="44" t="s">
        <v>48</v>
      </c>
      <c r="C33" s="55" t="s">
        <v>55</v>
      </c>
      <c r="D33" s="134">
        <v>0.8</v>
      </c>
      <c r="E33" s="139"/>
      <c r="F33" s="139"/>
      <c r="G33" s="139"/>
      <c r="H33" s="139"/>
      <c r="I33" s="139"/>
      <c r="J33" s="139"/>
      <c r="K33" s="139"/>
      <c r="L33" s="139"/>
      <c r="M33" s="128"/>
      <c r="N33" s="128"/>
      <c r="O33" s="128"/>
      <c r="P33" s="128"/>
      <c r="Q33" s="110" t="e">
        <f t="shared" si="1"/>
        <v>#DIV/0!</v>
      </c>
      <c r="R33" s="1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40.15" customHeight="1" x14ac:dyDescent="0.3">
      <c r="A34" s="30" t="s">
        <v>52</v>
      </c>
      <c r="B34" s="51" t="s">
        <v>53</v>
      </c>
      <c r="C34" s="56" t="s">
        <v>56</v>
      </c>
      <c r="D34" s="135" t="s">
        <v>54</v>
      </c>
      <c r="E34" s="136"/>
      <c r="F34" s="136"/>
      <c r="G34" s="138"/>
      <c r="H34" s="138"/>
      <c r="I34" s="136"/>
      <c r="J34" s="136"/>
      <c r="K34" s="136"/>
      <c r="L34" s="136"/>
      <c r="M34" s="137"/>
      <c r="N34" s="137"/>
      <c r="O34" s="137"/>
      <c r="P34" s="137"/>
      <c r="Q34" s="112" t="e">
        <f t="shared" si="1"/>
        <v>#DIV/0!</v>
      </c>
      <c r="R34" s="1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40.15" customHeight="1" thickBot="1" x14ac:dyDescent="0.35">
      <c r="A35" s="46" t="s">
        <v>40</v>
      </c>
      <c r="B35" s="44" t="s">
        <v>100</v>
      </c>
      <c r="C35" s="55" t="s">
        <v>41</v>
      </c>
      <c r="D35" s="89" t="s">
        <v>23</v>
      </c>
      <c r="E35" s="140"/>
      <c r="F35" s="123"/>
      <c r="G35" s="123"/>
      <c r="H35" s="141"/>
      <c r="I35" s="142"/>
      <c r="J35" s="142"/>
      <c r="K35" s="142"/>
      <c r="L35" s="142"/>
      <c r="M35" s="143"/>
      <c r="N35" s="143"/>
      <c r="O35" s="143"/>
      <c r="P35" s="143"/>
      <c r="Q35" s="110" t="e">
        <f t="shared" si="1"/>
        <v>#DIV/0!</v>
      </c>
      <c r="R35" s="8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27.4" customHeight="1" thickBot="1" x14ac:dyDescent="0.35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6"/>
      <c r="R36" s="8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27.4" customHeight="1" x14ac:dyDescent="0.3">
      <c r="A37" s="58" t="s">
        <v>13</v>
      </c>
      <c r="B37" s="59"/>
      <c r="C37" s="60" t="s">
        <v>0</v>
      </c>
      <c r="D37" s="61" t="s">
        <v>25</v>
      </c>
      <c r="E37" s="61" t="s">
        <v>1</v>
      </c>
      <c r="F37" s="61" t="s">
        <v>2</v>
      </c>
      <c r="G37" s="61" t="s">
        <v>3</v>
      </c>
      <c r="H37" s="61" t="s">
        <v>4</v>
      </c>
      <c r="I37" s="61" t="s">
        <v>12</v>
      </c>
      <c r="J37" s="61" t="s">
        <v>5</v>
      </c>
      <c r="K37" s="61" t="s">
        <v>6</v>
      </c>
      <c r="L37" s="61" t="s">
        <v>7</v>
      </c>
      <c r="M37" s="61" t="s">
        <v>8</v>
      </c>
      <c r="N37" s="61" t="s">
        <v>9</v>
      </c>
      <c r="O37" s="61" t="s">
        <v>10</v>
      </c>
      <c r="P37" s="61" t="s">
        <v>11</v>
      </c>
      <c r="Q37" s="62" t="s">
        <v>102</v>
      </c>
      <c r="R37" s="8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40.15" customHeight="1" x14ac:dyDescent="0.3">
      <c r="A38" s="45" t="s">
        <v>19</v>
      </c>
      <c r="B38" s="87" t="s">
        <v>60</v>
      </c>
      <c r="C38" s="63" t="s">
        <v>22</v>
      </c>
      <c r="D38" s="65">
        <v>0.95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10" t="e">
        <f t="shared" ref="Q38:Q43" si="2">AVERAGE(E38:P38)</f>
        <v>#DIV/0!</v>
      </c>
      <c r="R38" s="11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40.15" customHeight="1" x14ac:dyDescent="0.3">
      <c r="A39" s="29" t="s">
        <v>59</v>
      </c>
      <c r="B39" s="48" t="s">
        <v>62</v>
      </c>
      <c r="C39" s="55" t="s">
        <v>101</v>
      </c>
      <c r="D39" s="145" t="s">
        <v>107</v>
      </c>
      <c r="E39" s="100"/>
      <c r="F39" s="100"/>
      <c r="G39" s="100"/>
      <c r="H39" s="100"/>
      <c r="I39" s="100"/>
      <c r="J39" s="100"/>
      <c r="K39" s="100"/>
      <c r="L39" s="100"/>
      <c r="M39" s="100"/>
      <c r="N39" s="144"/>
      <c r="O39" s="144"/>
      <c r="P39" s="144"/>
      <c r="Q39" s="110" t="e">
        <f t="shared" si="2"/>
        <v>#DIV/0!</v>
      </c>
      <c r="R39" s="8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40.15" customHeight="1" x14ac:dyDescent="0.3">
      <c r="A40" s="29" t="s">
        <v>58</v>
      </c>
      <c r="B40" s="87" t="s">
        <v>60</v>
      </c>
      <c r="C40" s="56" t="s">
        <v>61</v>
      </c>
      <c r="D40" s="66" t="s">
        <v>23</v>
      </c>
      <c r="E40" s="10"/>
      <c r="F40" s="10"/>
      <c r="G40" s="64"/>
      <c r="H40" s="10"/>
      <c r="I40" s="10"/>
      <c r="J40" s="10"/>
      <c r="K40" s="10"/>
      <c r="L40" s="10"/>
      <c r="M40" s="10"/>
      <c r="N40" s="12"/>
      <c r="O40" s="12"/>
      <c r="P40" s="12"/>
      <c r="Q40" s="110" t="e">
        <f t="shared" si="2"/>
        <v>#DIV/0!</v>
      </c>
      <c r="R40" s="8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48" customHeight="1" x14ac:dyDescent="0.3">
      <c r="A41" s="29" t="s">
        <v>20</v>
      </c>
      <c r="B41" s="76" t="s">
        <v>60</v>
      </c>
      <c r="C41" s="84" t="s">
        <v>21</v>
      </c>
      <c r="D41" s="85" t="s">
        <v>63</v>
      </c>
      <c r="E41" s="86"/>
      <c r="F41" s="86"/>
      <c r="G41" s="86"/>
      <c r="H41" s="86"/>
      <c r="I41" s="86"/>
      <c r="J41" s="86"/>
      <c r="K41" s="86"/>
      <c r="L41" s="86"/>
      <c r="M41" s="86"/>
      <c r="N41" s="77"/>
      <c r="O41" s="78"/>
      <c r="P41" s="79"/>
      <c r="Q41" s="110" t="e">
        <f t="shared" si="2"/>
        <v>#DIV/0!</v>
      </c>
      <c r="R41" s="8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40.15" customHeight="1" x14ac:dyDescent="0.3">
      <c r="A42" s="149" t="s">
        <v>82</v>
      </c>
      <c r="B42" s="109" t="s">
        <v>83</v>
      </c>
      <c r="C42" s="56" t="s">
        <v>84</v>
      </c>
      <c r="D42" s="107" t="s">
        <v>85</v>
      </c>
      <c r="E42" s="136"/>
      <c r="F42" s="136"/>
      <c r="G42" s="136"/>
      <c r="H42" s="136"/>
      <c r="I42" s="136"/>
      <c r="J42" s="136"/>
      <c r="K42" s="136"/>
      <c r="L42" s="136"/>
      <c r="M42" s="136"/>
      <c r="N42" s="106"/>
      <c r="O42" s="106"/>
      <c r="P42" s="106"/>
      <c r="Q42" s="112" t="e">
        <f t="shared" si="2"/>
        <v>#DIV/0!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spans="1:29" ht="36.75" customHeight="1" x14ac:dyDescent="0.3">
      <c r="A43" s="150"/>
      <c r="B43" s="101" t="s">
        <v>83</v>
      </c>
      <c r="C43" s="108" t="s">
        <v>86</v>
      </c>
      <c r="D43" s="78" t="s">
        <v>106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118" t="e">
        <f t="shared" si="2"/>
        <v>#DIV/0!</v>
      </c>
    </row>
  </sheetData>
  <mergeCells count="15">
    <mergeCell ref="D1:Q1"/>
    <mergeCell ref="A1:C1"/>
    <mergeCell ref="A23:Q23"/>
    <mergeCell ref="A4:A6"/>
    <mergeCell ref="A21:A22"/>
    <mergeCell ref="A19:A20"/>
    <mergeCell ref="A17:A18"/>
    <mergeCell ref="A7:A8"/>
    <mergeCell ref="A9:A10"/>
    <mergeCell ref="A11:A14"/>
    <mergeCell ref="A25:A28"/>
    <mergeCell ref="A42:A43"/>
    <mergeCell ref="A15:A16"/>
    <mergeCell ref="A31:A32"/>
    <mergeCell ref="A36:Q36"/>
  </mergeCells>
  <pageMargins left="0.25" right="0.25" top="0.25" bottom="0.25" header="0.3" footer="0.3"/>
  <pageSetup scale="41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BD55FBAA7A104786880C8E8299D45C" ma:contentTypeVersion="4" ma:contentTypeDescription="Create a new document." ma:contentTypeScope="" ma:versionID="077dcc1c25ae75a3463c74bb4e04cd6a">
  <xsd:schema xmlns:xsd="http://www.w3.org/2001/XMLSchema" xmlns:xs="http://www.w3.org/2001/XMLSchema" xmlns:p="http://schemas.microsoft.com/office/2006/metadata/properties" xmlns:ns2="b7d8a155-0530-42a5-9b80-81985dff6e41" xmlns:ns3="82702a85-a6ab-46db-842d-4fb9be5c21d2" targetNamespace="http://schemas.microsoft.com/office/2006/metadata/properties" ma:root="true" ma:fieldsID="343f121f1881c150cb77da83c709211b" ns2:_="" ns3:_="">
    <xsd:import namespace="b7d8a155-0530-42a5-9b80-81985dff6e41"/>
    <xsd:import namespace="82702a85-a6ab-46db-842d-4fb9be5c21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8a155-0530-42a5-9b80-81985dff6e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02a85-a6ab-46db-842d-4fb9be5c21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0D8507-18D0-401C-A02B-6B30D1CE9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d8a155-0530-42a5-9b80-81985dff6e41"/>
    <ds:schemaRef ds:uri="82702a85-a6ab-46db-842d-4fb9be5c21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4FAAA9-D102-4FFB-9368-7A8F53618669}">
  <ds:schemaRefs>
    <ds:schemaRef ds:uri="b7d8a155-0530-42a5-9b80-81985dff6e41"/>
    <ds:schemaRef ds:uri="http://purl.org/dc/terms/"/>
    <ds:schemaRef ds:uri="http://schemas.openxmlformats.org/package/2006/metadata/core-properties"/>
    <ds:schemaRef ds:uri="http://purl.org/dc/dcmitype/"/>
    <ds:schemaRef ds:uri="82702a85-a6ab-46db-842d-4fb9be5c21d2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DE01EF-5545-484F-B0E2-F01CF1D366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IATF 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KPI_QA_TSObjective</dc:title>
  <dc:creator/>
  <cp:lastModifiedBy/>
  <cp:revision/>
  <dcterms:created xsi:type="dcterms:W3CDTF">2015-06-05T18:17:20Z</dcterms:created>
  <dcterms:modified xsi:type="dcterms:W3CDTF">2026-04-09T18:43:07Z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0x010100D5BD55FBAA7A104786880C8E8299D45C</vt:lpwstr>
  </property>
</Properties>
</file>